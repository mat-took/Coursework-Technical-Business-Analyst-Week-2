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ssumptions" sheetId="1" r:id="rId5"/>
    <sheet state="visible" name="Metrics" sheetId="2" r:id="rId6"/>
    <sheet state="visible" name="Opportunities" sheetId="3" r:id="rId7"/>
    <sheet state="visible" name="Calculations" sheetId="4" r:id="rId8"/>
    <sheet state="visible" name="ROI-summary" sheetId="5" r:id="rId9"/>
    <sheet state="visible" name="Sensitivity-tests" sheetId="6" r:id="rId10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3">
      <text>
        <t xml:space="preserve">My 0.15 calculation is more robust.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1">
      <text>
        <t xml:space="preserve">Multiplier of 6 for numbers taken over 2 months.</t>
      </text>
    </comment>
    <comment authorId="0" ref="I1">
      <text>
        <t xml:space="preserve">Can use ADKAR if stuck</t>
      </text>
    </comment>
    <comment authorId="0" ref="C2">
      <text>
        <t xml:space="preserve">Low-complexity implementation cost divided by number of opportunities that fall under "developing portal"</t>
      </text>
    </comment>
    <comment authorId="0" ref="E5">
      <text>
        <t xml:space="preserve">in blue, avg * cases over two month period, and a 0.6 confidence multiplier assuming people wont pay.</t>
      </text>
    </comment>
    <comment authorId="0" ref="K5">
      <text>
        <t xml:space="preserve">Robust to sensitivity tests against time spent scheduling follow-up.</t>
      </text>
    </comment>
    <comment authorId="0" ref="D6">
      <text>
        <t xml:space="preserve">27177 got from sum of minutes reaching out in spreadsheet</t>
      </text>
    </comment>
    <comment authorId="0" ref="E6">
      <text>
        <t xml:space="preserve">987 is avg overdue amount over 2 month period.
88 are number of cases associated with no-response-cycle*?* in period.
0.6 is pessimistic assumption of how many of those would pay back if they made a promise to pay.</t>
      </text>
    </comment>
  </commentList>
</comments>
</file>

<file path=xl/sharedStrings.xml><?xml version="1.0" encoding="utf-8"?>
<sst xmlns="http://schemas.openxmlformats.org/spreadsheetml/2006/main" count="159" uniqueCount="110">
  <si>
    <t>Assumption</t>
  </si>
  <si>
    <t>Value</t>
  </si>
  <si>
    <t>Unit</t>
  </si>
  <si>
    <t>Source</t>
  </si>
  <si>
    <t>Confidence</t>
  </si>
  <si>
    <t>Notes</t>
  </si>
  <si>
    <t>Avg calls non-straightforwards</t>
  </si>
  <si>
    <t>count</t>
  </si>
  <si>
    <t>gareth</t>
  </si>
  <si>
    <t>medium</t>
  </si>
  <si>
    <t>Average number of times contacted delinquents in non-straightforwards cases</t>
  </si>
  <si>
    <t>Time spent scheduling follow-up</t>
  </si>
  <si>
    <t>minutes</t>
  </si>
  <si>
    <t>assumption_id</t>
  </si>
  <si>
    <t>assumption_name</t>
  </si>
  <si>
    <t>value</t>
  </si>
  <si>
    <t>unit</t>
  </si>
  <si>
    <t>source</t>
  </si>
  <si>
    <t>confidence_level</t>
  </si>
  <si>
    <t>notes</t>
  </si>
  <si>
    <t>FA-01</t>
  </si>
  <si>
    <t>agent_hourly_cost</t>
  </si>
  <si>
    <t>GBP</t>
  </si>
  <si>
    <t>Finance workbook</t>
  </si>
  <si>
    <t>High</t>
  </si>
  <si>
    <t>Blended agent hourly cost</t>
  </si>
  <si>
    <t>FA-02</t>
  </si>
  <si>
    <t>working_days_per_month</t>
  </si>
  <si>
    <t>days</t>
  </si>
  <si>
    <t>Used for admin calculations</t>
  </si>
  <si>
    <t>FA-03</t>
  </si>
  <si>
    <t>straightforward_case_share</t>
  </si>
  <si>
    <t>ratio</t>
  </si>
  <si>
    <t>Operations estimate</t>
  </si>
  <si>
    <t>Medium</t>
  </si>
  <si>
    <t>Suitable for rules-driven self-service</t>
  </si>
  <si>
    <t>FA-04</t>
  </si>
  <si>
    <t>avg_straightforward_case_minutes</t>
  </si>
  <si>
    <t>Operations leadership</t>
  </si>
  <si>
    <t>Current case handling time</t>
  </si>
  <si>
    <t>FA-05</t>
  </si>
  <si>
    <t>target_straightforward_case_minutes</t>
  </si>
  <si>
    <t>Operations target</t>
  </si>
  <si>
    <t>Target after automation support</t>
  </si>
  <si>
    <t>FA-06</t>
  </si>
  <si>
    <t>missed_follow_up_rate</t>
  </si>
  <si>
    <t>Activity tracker analysis</t>
  </si>
  <si>
    <t>Indicative rate of missed or delayed follow-up</t>
  </si>
  <si>
    <t>FA-07</t>
  </si>
  <si>
    <t>recovery_uplift_for_plan_selection</t>
  </si>
  <si>
    <t>Finance estimate</t>
  </si>
  <si>
    <t>Low</t>
  </si>
  <si>
    <t>Test in sensitivity analysis</t>
  </si>
  <si>
    <t>FA-08</t>
  </si>
  <si>
    <t>recovery_uplift_for_promise_capture</t>
  </si>
  <si>
    <t>Scenario based</t>
  </si>
  <si>
    <t>FA-09</t>
  </si>
  <si>
    <t>monthly_recovery_baseline</t>
  </si>
  <si>
    <t>Baseline monthly recoveries</t>
  </si>
  <si>
    <t>FA-10</t>
  </si>
  <si>
    <t>implementation_cost_low_complexity</t>
  </si>
  <si>
    <t>Product delivery estimate</t>
  </si>
  <si>
    <t>Starter figure</t>
  </si>
  <si>
    <t>FA-11</t>
  </si>
  <si>
    <t>implementation_cost_medium_complexity</t>
  </si>
  <si>
    <t>Metric</t>
  </si>
  <si>
    <t>Units</t>
  </si>
  <si>
    <t>Delinquent account volume</t>
  </si>
  <si>
    <t>Count</t>
  </si>
  <si>
    <t>delinquent spreadsheet</t>
  </si>
  <si>
    <t>high</t>
  </si>
  <si>
    <t>Different date formats in spreadsheets</t>
  </si>
  <si>
    <t>recovery spreadsheet</t>
  </si>
  <si>
    <t>Case volume</t>
  </si>
  <si>
    <t>Count/month</t>
  </si>
  <si>
    <t>Straightforward case volume</t>
  </si>
  <si>
    <t>Agent hours worked</t>
  </si>
  <si>
    <t>hours/month</t>
  </si>
  <si>
    <t>Agent hours spent on manual work</t>
  </si>
  <si>
    <t>Missed follow-up rate</t>
  </si>
  <si>
    <t>Percent</t>
  </si>
  <si>
    <t>Current handling effort</t>
  </si>
  <si>
    <t>Number of agents</t>
  </si>
  <si>
    <t>Portal training cost</t>
  </si>
  <si>
    <t>finance assumptions</t>
  </si>
  <si>
    <t>Opportunity</t>
  </si>
  <si>
    <t>Description</t>
  </si>
  <si>
    <t>Implementation Cost</t>
  </si>
  <si>
    <t>Hours saved (Annual)</t>
  </si>
  <si>
    <t>Revenue uplift (Annually)</t>
  </si>
  <si>
    <t>Soft benefit</t>
  </si>
  <si>
    <t>12-month ROI</t>
  </si>
  <si>
    <t>Payback Period (Years)</t>
  </si>
  <si>
    <t>Risks</t>
  </si>
  <si>
    <t>Confidence Level</t>
  </si>
  <si>
    <t>Priority</t>
  </si>
  <si>
    <t>Portal gets status from database</t>
  </si>
  <si>
    <t>self-serve portal api can make requests to legacy database to check status of client.</t>
  </si>
  <si>
    <t>Consistency , centralisation (less thinking and stress)</t>
  </si>
  <si>
    <t>Portal sends sms</t>
  </si>
  <si>
    <t>self-serve portal can automatically send sms</t>
  </si>
  <si>
    <t>Consistency, communication, visibility</t>
  </si>
  <si>
    <t>Portal sends emails</t>
  </si>
  <si>
    <t>self-serve portal can automatically send email reminders</t>
  </si>
  <si>
    <t>Portal schedules follow-up</t>
  </si>
  <si>
    <t>portal takes the responsibility of scheduling a follow up away from agent, by accessing and modifying all agents' schedules</t>
  </si>
  <si>
    <t>Less conflict, fairness to agents</t>
  </si>
  <si>
    <t>Portal captures promise-to-pay</t>
  </si>
  <si>
    <t>portal captures promise to pay before progressing through case.</t>
  </si>
  <si>
    <t>Customer loyalty (feel dignified) and agents spend time on more productive things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</si>
</sst>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£]#,##0.00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49" xfId="0" applyAlignment="1" applyFont="1" applyNumberFormat="1">
      <alignment horizontal="left" readingOrder="0"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1" fillId="0" fontId="1" numFmtId="164" xfId="0" applyAlignment="1" applyBorder="1" applyFont="1" applyNumberFormat="1">
      <alignment shrinkToFit="0" vertical="center" wrapText="0"/>
    </xf>
    <xf borderId="1" fillId="2" fontId="1" numFmtId="164" xfId="0" applyAlignment="1" applyBorder="1" applyFill="1" applyFont="1" applyNumberFormat="1">
      <alignment shrinkToFit="0" vertical="center" wrapText="0"/>
    </xf>
    <xf borderId="1" fillId="0" fontId="1" numFmtId="164" xfId="0" applyAlignment="1" applyBorder="1" applyFont="1" applyNumberFormat="1">
      <alignment readingOrder="0" shrinkToFit="0" vertical="center" wrapText="0"/>
    </xf>
    <xf borderId="1" fillId="0" fontId="1" numFmtId="0" xfId="0" applyAlignment="1" applyBorder="1" applyFont="1">
      <alignment shrinkToFit="0" vertical="center" wrapText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CCD9D4"/>
          <bgColor rgb="FFCCD9D4"/>
        </patternFill>
      </fill>
      <border/>
    </dxf>
  </dxfs>
  <tableStyles count="4">
    <tableStyle count="4" pivot="0" name="Assumption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ssumptions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etric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5" pivot="0" name="Opportunities-style">
      <tableStyleElement dxfId="1" type="headerRow"/>
      <tableStyleElement dxfId="2" type="firstRowStripe"/>
      <tableStyleElement dxfId="3" type="secondRowStripe"/>
      <tableStyleElement dxfId="5" type="totalRow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3" displayName="Mine" name="Mine" id="1">
  <tableColumns count="6">
    <tableColumn name="Assumption" id="1"/>
    <tableColumn name="Value" id="2"/>
    <tableColumn name="Unit" id="3"/>
    <tableColumn name="Source" id="4"/>
    <tableColumn name="Confidence" id="5"/>
    <tableColumn name="Notes" id="6"/>
  </tableColumns>
  <tableStyleInfo name="Assumptions-style" showColumnStripes="0" showFirstColumn="1" showLastColumn="1" showRowStripes="1"/>
</table>
</file>

<file path=xl/tables/table2.xml><?xml version="1.0" encoding="utf-8"?>
<table xmlns="http://schemas.openxmlformats.org/spreadsheetml/2006/main" ref="A7:G18" displayName="Finance" name="Finance" id="2">
  <tableColumns count="7">
    <tableColumn name="assumption_id" id="1"/>
    <tableColumn name="assumption_name" id="2"/>
    <tableColumn name="value" id="3"/>
    <tableColumn name="unit" id="4"/>
    <tableColumn name="source" id="5"/>
    <tableColumn name="confidence_level" id="6"/>
    <tableColumn name="notes" id="7"/>
  </tableColumns>
  <tableStyleInfo name="Assumptions-style 2" showColumnStripes="0" showFirstColumn="1" showLastColumn="1" showRowStripes="1"/>
</table>
</file>

<file path=xl/tables/table3.xml><?xml version="1.0" encoding="utf-8"?>
<table xmlns="http://schemas.openxmlformats.org/spreadsheetml/2006/main" ref="A1:E11" displayName="Table3" name="Table3" id="3">
  <tableColumns count="5">
    <tableColumn name="Metric" id="1"/>
    <tableColumn name="Value" id="2"/>
    <tableColumn name="Units" id="3"/>
    <tableColumn name="Source" id="4"/>
    <tableColumn name="Confidence" id="5"/>
  </tableColumns>
  <tableStyleInfo name="Metrics-style" showColumnStripes="0" showFirstColumn="1" showLastColumn="1" showRowStripes="1"/>
</table>
</file>

<file path=xl/tables/table4.xml><?xml version="1.0" encoding="utf-8"?>
<table xmlns="http://schemas.openxmlformats.org/spreadsheetml/2006/main" totalsRowCount="1" ref="A1:K8" displayName="Table2" name="Table2" id="4">
  <tableColumns count="11">
    <tableColumn name="Opportunity" id="1"/>
    <tableColumn name="Description" id="2"/>
    <tableColumn name="Implementation Cost" id="3"/>
    <tableColumn totalsRowFunction="custom" name="Hours saved (Annual)" id="4"/>
    <tableColumn totalsRowFunction="custom" name="Revenue uplift (Annually)" id="5"/>
    <tableColumn name="Soft benefit" id="6"/>
    <tableColumn totalsRowFunction="custom" name="12-month ROI" id="7"/>
    <tableColumn name="Payback Period (Years)" id="8"/>
    <tableColumn name="Risks" id="9"/>
    <tableColumn name="Confidence Level" id="10"/>
    <tableColumn name="Priority" id="11"/>
  </tableColumns>
  <tableStyleInfo name="Opportuniti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Relationship Id="rId6" Type="http://schemas.openxmlformats.org/officeDocument/2006/relationships/table" Target="../tables/table1.xml"/><Relationship Id="rId7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3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Relationship Id="rId5" Type="http://schemas.openxmlformats.org/officeDocument/2006/relationships/table" Target="../tables/table4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4.13"/>
    <col customWidth="1" min="2" max="2" width="33.5"/>
    <col customWidth="1" min="5" max="5" width="21.13"/>
    <col customWidth="1" min="7" max="7" width="35.7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.5" customHeight="1">
      <c r="A2" s="2" t="s">
        <v>6</v>
      </c>
      <c r="B2" s="3">
        <v>2.5</v>
      </c>
      <c r="C2" s="3" t="s">
        <v>7</v>
      </c>
      <c r="D2" s="3" t="s">
        <v>8</v>
      </c>
      <c r="E2" s="3" t="s">
        <v>9</v>
      </c>
      <c r="F2" s="2" t="s">
        <v>10</v>
      </c>
    </row>
    <row r="3" ht="22.5" customHeight="1">
      <c r="A3" s="2" t="s">
        <v>11</v>
      </c>
      <c r="B3" s="2">
        <v>2.0</v>
      </c>
      <c r="C3" s="2" t="s">
        <v>12</v>
      </c>
      <c r="D3" s="3"/>
      <c r="E3" s="3"/>
      <c r="F3" s="2"/>
    </row>
    <row r="4">
      <c r="A4" s="4"/>
      <c r="B4" s="4"/>
      <c r="C4" s="4"/>
      <c r="D4" s="4"/>
      <c r="E4" s="4"/>
      <c r="F4" s="4"/>
      <c r="G4" s="4"/>
    </row>
    <row r="5">
      <c r="A5" s="4"/>
      <c r="B5" s="4"/>
      <c r="C5" s="4"/>
      <c r="D5" s="4"/>
      <c r="E5" s="4"/>
      <c r="F5" s="4"/>
      <c r="G5" s="4"/>
    </row>
    <row r="6">
      <c r="A6" s="4"/>
      <c r="B6" s="4"/>
      <c r="C6" s="4"/>
      <c r="D6" s="4"/>
      <c r="E6" s="4"/>
      <c r="F6" s="4"/>
      <c r="G6" s="4"/>
    </row>
    <row r="7" ht="22.5" customHeight="1">
      <c r="A7" s="1" t="s">
        <v>13</v>
      </c>
      <c r="B7" s="1" t="s">
        <v>14</v>
      </c>
      <c r="C7" s="1" t="s">
        <v>15</v>
      </c>
      <c r="D7" s="1" t="s">
        <v>16</v>
      </c>
      <c r="E7" s="1" t="s">
        <v>17</v>
      </c>
      <c r="F7" s="1" t="s">
        <v>18</v>
      </c>
      <c r="G7" s="1" t="s">
        <v>19</v>
      </c>
    </row>
    <row r="8" ht="22.5" customHeight="1">
      <c r="A8" s="2" t="s">
        <v>20</v>
      </c>
      <c r="B8" s="2" t="s">
        <v>21</v>
      </c>
      <c r="C8" s="5">
        <v>22.0</v>
      </c>
      <c r="D8" s="2" t="s">
        <v>22</v>
      </c>
      <c r="E8" s="2" t="s">
        <v>23</v>
      </c>
      <c r="F8" s="6" t="s">
        <v>24</v>
      </c>
      <c r="G8" s="2" t="s">
        <v>25</v>
      </c>
    </row>
    <row r="9" ht="22.5" customHeight="1">
      <c r="A9" s="2" t="s">
        <v>26</v>
      </c>
      <c r="B9" s="2" t="s">
        <v>27</v>
      </c>
      <c r="C9" s="5">
        <v>21.0</v>
      </c>
      <c r="D9" s="2" t="s">
        <v>28</v>
      </c>
      <c r="E9" s="2" t="s">
        <v>23</v>
      </c>
      <c r="F9" s="6" t="s">
        <v>24</v>
      </c>
      <c r="G9" s="2" t="s">
        <v>29</v>
      </c>
    </row>
    <row r="10" ht="22.5" customHeight="1">
      <c r="A10" s="2" t="s">
        <v>30</v>
      </c>
      <c r="B10" s="2" t="s">
        <v>31</v>
      </c>
      <c r="C10" s="5">
        <v>0.38</v>
      </c>
      <c r="D10" s="2" t="s">
        <v>32</v>
      </c>
      <c r="E10" s="2" t="s">
        <v>33</v>
      </c>
      <c r="F10" s="6" t="s">
        <v>34</v>
      </c>
      <c r="G10" s="2" t="s">
        <v>35</v>
      </c>
    </row>
    <row r="11" ht="22.5" customHeight="1">
      <c r="A11" s="2" t="s">
        <v>36</v>
      </c>
      <c r="B11" s="2" t="s">
        <v>37</v>
      </c>
      <c r="C11" s="5">
        <v>18.0</v>
      </c>
      <c r="D11" s="2" t="s">
        <v>12</v>
      </c>
      <c r="E11" s="2" t="s">
        <v>38</v>
      </c>
      <c r="F11" s="6" t="s">
        <v>34</v>
      </c>
      <c r="G11" s="2" t="s">
        <v>39</v>
      </c>
    </row>
    <row r="12" ht="22.5" customHeight="1">
      <c r="A12" s="2" t="s">
        <v>40</v>
      </c>
      <c r="B12" s="2" t="s">
        <v>41</v>
      </c>
      <c r="C12" s="5">
        <v>10.0</v>
      </c>
      <c r="D12" s="2" t="s">
        <v>12</v>
      </c>
      <c r="E12" s="2" t="s">
        <v>42</v>
      </c>
      <c r="F12" s="6" t="s">
        <v>34</v>
      </c>
      <c r="G12" s="2" t="s">
        <v>43</v>
      </c>
    </row>
    <row r="13" ht="22.5" customHeight="1">
      <c r="A13" s="2" t="s">
        <v>44</v>
      </c>
      <c r="B13" s="2" t="s">
        <v>45</v>
      </c>
      <c r="C13" s="5">
        <v>0.14</v>
      </c>
      <c r="D13" s="2" t="s">
        <v>32</v>
      </c>
      <c r="E13" s="2" t="s">
        <v>46</v>
      </c>
      <c r="F13" s="6" t="s">
        <v>34</v>
      </c>
      <c r="G13" s="2" t="s">
        <v>47</v>
      </c>
    </row>
    <row r="14" ht="22.5" customHeight="1">
      <c r="A14" s="2" t="s">
        <v>48</v>
      </c>
      <c r="B14" s="2" t="s">
        <v>49</v>
      </c>
      <c r="C14" s="5">
        <v>0.04</v>
      </c>
      <c r="D14" s="2" t="s">
        <v>32</v>
      </c>
      <c r="E14" s="2" t="s">
        <v>50</v>
      </c>
      <c r="F14" s="6" t="s">
        <v>51</v>
      </c>
      <c r="G14" s="2" t="s">
        <v>52</v>
      </c>
    </row>
    <row r="15" ht="22.5" customHeight="1">
      <c r="A15" s="2" t="s">
        <v>53</v>
      </c>
      <c r="B15" s="2" t="s">
        <v>54</v>
      </c>
      <c r="C15" s="5">
        <v>0.025</v>
      </c>
      <c r="D15" s="2" t="s">
        <v>32</v>
      </c>
      <c r="E15" s="2" t="s">
        <v>50</v>
      </c>
      <c r="F15" s="6" t="s">
        <v>51</v>
      </c>
      <c r="G15" s="2" t="s">
        <v>55</v>
      </c>
    </row>
    <row r="16" ht="22.5" customHeight="1">
      <c r="A16" s="2" t="s">
        <v>56</v>
      </c>
      <c r="B16" s="2" t="s">
        <v>57</v>
      </c>
      <c r="C16" s="5">
        <v>8000000.0</v>
      </c>
      <c r="D16" s="2" t="s">
        <v>22</v>
      </c>
      <c r="E16" s="2" t="s">
        <v>23</v>
      </c>
      <c r="F16" s="6" t="s">
        <v>34</v>
      </c>
      <c r="G16" s="2" t="s">
        <v>58</v>
      </c>
    </row>
    <row r="17" ht="22.5" customHeight="1">
      <c r="A17" s="2" t="s">
        <v>59</v>
      </c>
      <c r="B17" s="2" t="s">
        <v>60</v>
      </c>
      <c r="C17" s="5">
        <v>45000.0</v>
      </c>
      <c r="D17" s="2" t="s">
        <v>22</v>
      </c>
      <c r="E17" s="2" t="s">
        <v>61</v>
      </c>
      <c r="F17" s="6" t="s">
        <v>34</v>
      </c>
      <c r="G17" s="2" t="s">
        <v>62</v>
      </c>
    </row>
    <row r="18" ht="22.5" customHeight="1">
      <c r="A18" s="2" t="s">
        <v>63</v>
      </c>
      <c r="B18" s="2" t="s">
        <v>64</v>
      </c>
      <c r="C18" s="5">
        <v>85000.0</v>
      </c>
      <c r="D18" s="2" t="s">
        <v>22</v>
      </c>
      <c r="E18" s="2" t="s">
        <v>61</v>
      </c>
      <c r="F18" s="6" t="s">
        <v>34</v>
      </c>
      <c r="G18" s="2" t="s">
        <v>62</v>
      </c>
    </row>
  </sheetData>
  <dataValidations>
    <dataValidation type="list" allowBlank="1" showDropDown="1" showErrorMessage="1" sqref="F8:F18">
      <formula1>"High,Medium,Low"</formula1>
    </dataValidation>
    <dataValidation type="custom" allowBlank="1" showDropDown="1" sqref="C8:C18">
      <formula1>AND(ISNUMBER(C8),(NOT(OR(NOT(ISERROR(DATEVALUE(C8))), AND(ISNUMBER(C8), LEFT(CELL("format", C8))="D")))))</formula1>
    </dataValidation>
  </dataValidations>
  <drawing r:id="rId2"/>
  <legacyDrawing r:id="rId3"/>
  <tableParts count="2">
    <tablePart r:id="rId6"/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7.63"/>
    <col customWidth="1" min="5" max="5" width="13.88"/>
  </cols>
  <sheetData>
    <row r="1" ht="22.5" customHeight="1">
      <c r="A1" s="1" t="s">
        <v>65</v>
      </c>
      <c r="B1" s="1" t="s">
        <v>1</v>
      </c>
      <c r="C1" s="1" t="s">
        <v>66</v>
      </c>
      <c r="D1" s="1" t="s">
        <v>3</v>
      </c>
      <c r="E1" s="1" t="s">
        <v>4</v>
      </c>
    </row>
    <row r="2" ht="22.5" customHeight="1">
      <c r="A2" s="7" t="s">
        <v>67</v>
      </c>
      <c r="B2" s="7">
        <v>3246.0</v>
      </c>
      <c r="C2" s="7" t="s">
        <v>68</v>
      </c>
      <c r="D2" s="7" t="s">
        <v>69</v>
      </c>
      <c r="E2" s="2" t="s">
        <v>70</v>
      </c>
    </row>
    <row r="3" ht="22.5" customHeight="1">
      <c r="A3" s="7" t="s">
        <v>71</v>
      </c>
      <c r="B3" s="7">
        <v>2.0</v>
      </c>
      <c r="C3" s="7" t="s">
        <v>68</v>
      </c>
      <c r="D3" s="7" t="s">
        <v>72</v>
      </c>
      <c r="E3" s="2" t="s">
        <v>70</v>
      </c>
    </row>
    <row r="4" ht="22.5" customHeight="1">
      <c r="A4" s="7" t="s">
        <v>73</v>
      </c>
      <c r="B4" s="7">
        <f>ROUND(9891/2,0)</f>
        <v>4946</v>
      </c>
      <c r="C4" s="7" t="s">
        <v>74</v>
      </c>
      <c r="D4" s="7" t="s">
        <v>72</v>
      </c>
      <c r="E4" s="2" t="s">
        <v>70</v>
      </c>
    </row>
    <row r="5" ht="22.5" customHeight="1">
      <c r="A5" s="7" t="s">
        <v>75</v>
      </c>
      <c r="B5" s="7">
        <f>ROUND((B4)*Assumptions!C10,0)</f>
        <v>1879</v>
      </c>
      <c r="C5" s="7" t="s">
        <v>74</v>
      </c>
      <c r="D5" s="7" t="s">
        <v>72</v>
      </c>
      <c r="E5" s="2" t="s">
        <v>9</v>
      </c>
    </row>
    <row r="6" ht="22.5" customHeight="1">
      <c r="A6" s="7" t="s">
        <v>76</v>
      </c>
      <c r="B6" s="7">
        <v>577.0</v>
      </c>
      <c r="C6" s="7" t="s">
        <v>77</v>
      </c>
      <c r="D6" s="7" t="s">
        <v>72</v>
      </c>
      <c r="E6" s="2" t="s">
        <v>70</v>
      </c>
    </row>
    <row r="7" ht="22.5" customHeight="1">
      <c r="A7" s="7" t="s">
        <v>78</v>
      </c>
      <c r="B7" s="7">
        <v>197.0</v>
      </c>
      <c r="C7" s="7" t="s">
        <v>77</v>
      </c>
      <c r="D7" s="7" t="s">
        <v>72</v>
      </c>
      <c r="E7" s="2" t="s">
        <v>70</v>
      </c>
    </row>
    <row r="8" ht="22.5" customHeight="1">
      <c r="A8" s="7" t="s">
        <v>79</v>
      </c>
      <c r="B8" s="7">
        <v>15.0</v>
      </c>
      <c r="C8" s="7" t="s">
        <v>80</v>
      </c>
      <c r="D8" s="7" t="s">
        <v>72</v>
      </c>
      <c r="E8" s="2" t="s">
        <v>70</v>
      </c>
    </row>
    <row r="9" ht="22.5" customHeight="1">
      <c r="A9" s="7" t="s">
        <v>81</v>
      </c>
      <c r="B9" s="7"/>
      <c r="C9" s="7"/>
      <c r="D9" s="7"/>
    </row>
    <row r="10" ht="22.5" customHeight="1">
      <c r="A10" s="7" t="s">
        <v>82</v>
      </c>
      <c r="B10" s="7">
        <v>58.0</v>
      </c>
      <c r="C10" s="7" t="s">
        <v>68</v>
      </c>
      <c r="D10" s="7" t="s">
        <v>72</v>
      </c>
      <c r="E10" s="2" t="s">
        <v>70</v>
      </c>
    </row>
    <row r="11" ht="22.5" customHeight="1">
      <c r="A11" s="7" t="s">
        <v>83</v>
      </c>
      <c r="B11" s="7">
        <f>20*B10*Assumptions!C8</f>
        <v>25520</v>
      </c>
      <c r="C11" s="7" t="s">
        <v>22</v>
      </c>
      <c r="D11" s="7" t="s">
        <v>84</v>
      </c>
      <c r="E11" s="2" t="s">
        <v>9</v>
      </c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5.0"/>
    <col customWidth="1" min="2" max="2" width="14.88"/>
    <col customWidth="1" min="3" max="3" width="24.38"/>
    <col customWidth="1" min="4" max="4" width="20.13"/>
    <col customWidth="1" min="5" max="5" width="13.75"/>
    <col customWidth="1" min="6" max="6" width="27.63"/>
    <col customWidth="1" min="7" max="7" width="13.75"/>
    <col customWidth="1" min="8" max="8" width="21.38"/>
    <col customWidth="1" min="9" max="10" width="14.25"/>
    <col customWidth="1" min="11" max="11" width="15.63"/>
    <col customWidth="1" min="12" max="12" width="18.38"/>
  </cols>
  <sheetData>
    <row r="1" ht="22.5" customHeight="1">
      <c r="A1" s="8" t="s">
        <v>85</v>
      </c>
      <c r="B1" s="8" t="s">
        <v>86</v>
      </c>
      <c r="C1" s="8" t="s">
        <v>87</v>
      </c>
      <c r="D1" s="8" t="s">
        <v>88</v>
      </c>
      <c r="E1" s="8" t="s">
        <v>89</v>
      </c>
      <c r="F1" s="8" t="s">
        <v>90</v>
      </c>
      <c r="G1" s="9" t="s">
        <v>91</v>
      </c>
      <c r="H1" s="9" t="s">
        <v>92</v>
      </c>
      <c r="I1" s="8" t="s">
        <v>93</v>
      </c>
      <c r="J1" s="8" t="s">
        <v>94</v>
      </c>
      <c r="K1" s="8" t="s">
        <v>95</v>
      </c>
    </row>
    <row r="2" ht="22.5" customHeight="1">
      <c r="A2" s="10" t="s">
        <v>96</v>
      </c>
      <c r="B2" s="10" t="s">
        <v>97</v>
      </c>
      <c r="C2" s="11">
        <f>(Assumptions!C17)</f>
        <v>45000</v>
      </c>
      <c r="D2" s="10">
        <f>ROUND(6347*6/(60),0)</f>
        <v>635</v>
      </c>
      <c r="E2" s="12">
        <f>D2*Assumptions!C8</f>
        <v>13970</v>
      </c>
      <c r="F2" s="10" t="s">
        <v>98</v>
      </c>
      <c r="G2" s="13">
        <f t="shared" ref="G2:G6" si="1">E2-C2</f>
        <v>-31030</v>
      </c>
      <c r="H2" s="14">
        <f t="shared" ref="H2:H6" si="2">ROUND(C2/E2,1)</f>
        <v>3.2</v>
      </c>
      <c r="I2" s="14"/>
      <c r="J2" s="10" t="s">
        <v>24</v>
      </c>
      <c r="K2" s="10"/>
    </row>
    <row r="3" ht="22.5" customHeight="1">
      <c r="A3" s="10" t="s">
        <v>99</v>
      </c>
      <c r="B3" s="10" t="s">
        <v>100</v>
      </c>
      <c r="C3" s="11">
        <f>(Assumptions!C17)</f>
        <v>45000</v>
      </c>
      <c r="D3" s="10">
        <f>ROUND(4285*6/(60),0)</f>
        <v>429</v>
      </c>
      <c r="E3" s="12">
        <f>D3*Assumptions!C8</f>
        <v>9438</v>
      </c>
      <c r="F3" s="10" t="s">
        <v>101</v>
      </c>
      <c r="G3" s="13">
        <f t="shared" si="1"/>
        <v>-35562</v>
      </c>
      <c r="H3" s="14">
        <f t="shared" si="2"/>
        <v>4.8</v>
      </c>
      <c r="I3" s="14"/>
      <c r="J3" s="10" t="s">
        <v>24</v>
      </c>
      <c r="K3" s="10">
        <v>4.0</v>
      </c>
    </row>
    <row r="4" ht="22.5" customHeight="1">
      <c r="A4" s="10" t="s">
        <v>102</v>
      </c>
      <c r="B4" s="10" t="s">
        <v>103</v>
      </c>
      <c r="C4" s="11">
        <f>(Assumptions!C17)</f>
        <v>45000</v>
      </c>
      <c r="D4" s="10">
        <f>ROUND(7580*6/(60),0)</f>
        <v>758</v>
      </c>
      <c r="E4" s="12">
        <f>D4*Assumptions!C8</f>
        <v>16676</v>
      </c>
      <c r="F4" s="10" t="s">
        <v>101</v>
      </c>
      <c r="G4" s="13">
        <f t="shared" si="1"/>
        <v>-28324</v>
      </c>
      <c r="H4" s="14">
        <f t="shared" si="2"/>
        <v>2.7</v>
      </c>
      <c r="I4" s="14"/>
      <c r="J4" s="10" t="s">
        <v>24</v>
      </c>
      <c r="K4" s="10">
        <v>3.0</v>
      </c>
    </row>
    <row r="5" ht="22.5" customHeight="1">
      <c r="A5" s="10" t="s">
        <v>104</v>
      </c>
      <c r="B5" s="10" t="s">
        <v>105</v>
      </c>
      <c r="C5" s="11">
        <f>(Assumptions!C17)</f>
        <v>45000</v>
      </c>
      <c r="D5" s="10">
        <f>ROUND(2*Metrics!B4*12/60,0)</f>
        <v>1978</v>
      </c>
      <c r="E5" s="13">
        <f>(D5*Assumptions!C8)+(960*93*6*0.6)</f>
        <v>364924</v>
      </c>
      <c r="F5" s="10" t="s">
        <v>106</v>
      </c>
      <c r="G5" s="13">
        <f t="shared" si="1"/>
        <v>319924</v>
      </c>
      <c r="H5" s="14">
        <f t="shared" si="2"/>
        <v>0.1</v>
      </c>
      <c r="I5" s="14"/>
      <c r="J5" s="10" t="s">
        <v>34</v>
      </c>
      <c r="K5" s="10">
        <v>2.0</v>
      </c>
    </row>
    <row r="6" ht="22.5" customHeight="1">
      <c r="A6" s="10" t="s">
        <v>107</v>
      </c>
      <c r="B6" s="10" t="s">
        <v>108</v>
      </c>
      <c r="C6" s="13">
        <f>(Assumptions!C17)</f>
        <v>45000</v>
      </c>
      <c r="D6" s="14">
        <f>ROUND((27177*12)/(2*60),0)</f>
        <v>2718</v>
      </c>
      <c r="E6" s="11">
        <f>D6*Assumptions!C8+(987*88*6*0.6)</f>
        <v>372477.6</v>
      </c>
      <c r="F6" s="10" t="s">
        <v>109</v>
      </c>
      <c r="G6" s="13">
        <f t="shared" si="1"/>
        <v>327477.6</v>
      </c>
      <c r="H6" s="14">
        <f t="shared" si="2"/>
        <v>0.1</v>
      </c>
      <c r="I6" s="14"/>
      <c r="J6" s="10" t="s">
        <v>34</v>
      </c>
      <c r="K6" s="10">
        <v>1.0</v>
      </c>
    </row>
    <row r="7" ht="22.5" customHeight="1">
      <c r="A7" s="14"/>
      <c r="B7" s="14"/>
      <c r="C7" s="11"/>
      <c r="D7" s="14"/>
      <c r="E7" s="11"/>
      <c r="F7" s="14"/>
      <c r="G7" s="14"/>
      <c r="H7" s="14"/>
      <c r="I7" s="14"/>
      <c r="J7" s="14"/>
      <c r="K7" s="14"/>
    </row>
    <row r="8" ht="22.5" customHeight="1">
      <c r="A8" s="14"/>
      <c r="B8" s="14"/>
      <c r="C8" s="11"/>
      <c r="D8" s="14">
        <f>SUM(Table2[Hours saved (Annual)])</f>
        <v>6518</v>
      </c>
      <c r="E8" s="11">
        <f>SUM(Table2[Revenue uplift (Annually)])</f>
        <v>777485.6</v>
      </c>
      <c r="F8" s="14"/>
      <c r="G8" s="11">
        <f>sum(Table2[12-month ROI])</f>
        <v>552485.6</v>
      </c>
      <c r="H8" s="14"/>
      <c r="I8" s="14"/>
      <c r="J8" s="14"/>
      <c r="K8" s="14"/>
    </row>
  </sheetData>
  <dataValidations>
    <dataValidation type="custom" allowBlank="1" showDropDown="1" sqref="C2:C7 E2:E7">
      <formula1>AND(ISNUMBER(C2),(NOT(OR(NOT(ISERROR(DATEVALUE(C2))), AND(ISNUMBER(C2), LEFT(CELL("format", C2))="D")))))</formula1>
    </dataValidation>
  </dataValidations>
  <drawing r:id="rId2"/>
  <legacyDrawing r:id="rId3"/>
  <tableParts count="1"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